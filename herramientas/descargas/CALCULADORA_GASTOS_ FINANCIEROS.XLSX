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/>
  <mc:AlternateContent xmlns:mc="http://schemas.openxmlformats.org/markup-compatibility/2006">
    <mc:Choice Requires="x15">
      <x15ac:absPath xmlns:x15ac="http://schemas.microsoft.com/office/spreadsheetml/2010/11/ac" url="C:\Users\jdelatorre\Desktop\2017\LEAN FINANCE\MANUAL\"/>
    </mc:Choice>
  </mc:AlternateContent>
  <xr:revisionPtr revIDLastSave="0" documentId="13_ncr:1_{83069131-7FF8-4D96-AC6D-6F365C181FB9}" xr6:coauthVersionLast="40" xr6:coauthVersionMax="40" xr10:uidLastSave="{00000000-0000-0000-0000-000000000000}"/>
  <workbookProtection workbookAlgorithmName="SHA-512" workbookHashValue="hxOV82DnUEKx9GnURldMzBSJEYNvw7o8pWkMnacjxW2oNMHnf86/gx1Zrepnpjaml7kTytNA45VVJW4eFeNQiA==" workbookSaltValue="9iNXTMODQOH4v+BCekQ8bg==" workbookSpinCount="100000" lockStructure="1"/>
  <bookViews>
    <workbookView xWindow="0" yWindow="0" windowWidth="28800" windowHeight="1222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C22" i="1" l="1"/>
  <c r="C8" i="1"/>
  <c r="D14" i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D32" i="1" s="1"/>
  <c r="C18" i="1" l="1"/>
  <c r="C30" i="1"/>
  <c r="C14" i="1"/>
  <c r="D30" i="1"/>
  <c r="C26" i="1"/>
  <c r="C10" i="1"/>
  <c r="D26" i="1"/>
  <c r="C29" i="1"/>
  <c r="C25" i="1"/>
  <c r="C21" i="1"/>
  <c r="C17" i="1"/>
  <c r="C13" i="1"/>
  <c r="C9" i="1"/>
  <c r="D22" i="1"/>
  <c r="C32" i="1"/>
  <c r="C28" i="1"/>
  <c r="C24" i="1"/>
  <c r="C20" i="1"/>
  <c r="C16" i="1"/>
  <c r="C12" i="1"/>
  <c r="D9" i="1"/>
  <c r="D18" i="1"/>
  <c r="C31" i="1"/>
  <c r="C27" i="1"/>
  <c r="C23" i="1"/>
  <c r="C19" i="1"/>
  <c r="C15" i="1"/>
  <c r="C11" i="1"/>
  <c r="D10" i="1"/>
  <c r="D29" i="1"/>
  <c r="D25" i="1"/>
  <c r="D21" i="1"/>
  <c r="D17" i="1"/>
  <c r="D13" i="1"/>
  <c r="D28" i="1"/>
  <c r="D24" i="1"/>
  <c r="D20" i="1"/>
  <c r="D16" i="1"/>
  <c r="D12" i="1"/>
  <c r="D31" i="1"/>
  <c r="D27" i="1"/>
  <c r="D23" i="1"/>
  <c r="D19" i="1"/>
  <c r="D15" i="1"/>
  <c r="D11" i="1"/>
</calcChain>
</file>

<file path=xl/sharedStrings.xml><?xml version="1.0" encoding="utf-8"?>
<sst xmlns="http://schemas.openxmlformats.org/spreadsheetml/2006/main" count="7" uniqueCount="7">
  <si>
    <t>SIMULACIÓN DE GASTOS FINANCIEROS ASOCIADOS A RETRASOS DE CLIENTES</t>
  </si>
  <si>
    <t>Fecha de emisión de factura</t>
  </si>
  <si>
    <t>Importe</t>
  </si>
  <si>
    <t>% Interés Financiación</t>
  </si>
  <si>
    <t>DÍAS</t>
  </si>
  <si>
    <t>FECHA VENCIMIENTO</t>
  </si>
  <si>
    <t>INTERESES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</si>
</sst>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Lato"/>
      <family val="2"/>
    </font>
    <font>
      <sz val="11"/>
      <color rgb="FFA6A3A1"/>
      <name val="Lato"/>
      <family val="2"/>
    </font>
    <font>
      <sz val="16"/>
      <color rgb="FFA3D3BC"/>
      <name val="Lato"/>
      <family val="2"/>
    </font>
    <font>
      <b/>
      <sz val="11"/>
      <color rgb="FF00CCFF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0" fontId="2" fillId="0" borderId="0" xfId="2" applyNumberFormat="1" applyFont="1"/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44" fontId="3" fillId="0" borderId="0" xfId="1" applyFont="1" applyAlignment="1">
      <alignment vertical="center"/>
    </xf>
    <xf numFmtId="14" fontId="5" fillId="0" borderId="0" xfId="0" applyNumberFormat="1" applyFont="1" applyAlignment="1">
      <alignment horizontal="right"/>
    </xf>
    <xf numFmtId="44" fontId="5" fillId="0" borderId="0" xfId="1" applyFont="1" applyAlignment="1">
      <alignment horizontal="right"/>
    </xf>
    <xf numFmtId="10" fontId="5" fillId="0" borderId="0" xfId="2" applyNumberFormat="1" applyFont="1" applyAlignment="1">
      <alignment horizontal="right"/>
    </xf>
    <xf numFmtId="0" fontId="2" fillId="0" borderId="0" xfId="0" applyFont="1" applyProtection="1">
      <protection locked="0"/>
    </xf>
    <xf numFmtId="0" fontId="4" fillId="0" borderId="0" xfId="0" applyFont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3366CC"/>
      <color rgb="FF4D4845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99061</xdr:colOff>
      <xdr:row>0</xdr:row>
      <xdr:rowOff>0</xdr:rowOff>
    </xdr:from>
    <xdr:to>
      <xdr:col>1</xdr:col>
      <xdr:colOff>106680</xdr:colOff>
      <xdr:row>1</xdr:row>
      <xdr:rowOff>45719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12BCB6-0CE0-4224-8003-8D56E614D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1" y="0"/>
          <a:ext cx="792479" cy="792479"/>
        </a:xfrm>
        <a:prstGeom prst="rect">
          <a:avLst/>
        </a:prstGeom>
      </xdr:spPr>
    </xdr:pic>
    <xdr:clientData/>
  </xdr:twoCellAnchor>
  <xdr:twoCellAnchor editAs="oneCell">
    <xdr:from>
      <xdr:col>1</xdr:col>
      <xdr:colOff>27214</xdr:colOff>
      <xdr:row>32</xdr:row>
      <xdr:rowOff>5443</xdr:rowOff>
    </xdr:from>
    <xdr:to>
      <xdr:col>4</xdr:col>
      <xdr:colOff>114299</xdr:colOff>
      <xdr:row>41</xdr:row>
      <xdr:rowOff>70758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612F10A-102B-4B71-A395-AE84ED2462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3" t="11050" r="5511" b="10961"/>
        <a:stretch/>
      </xdr:blipFill>
      <xdr:spPr>
        <a:xfrm>
          <a:off x="810985" y="6150429"/>
          <a:ext cx="3385457" cy="1632858"/>
        </a:xfrm>
        <a:prstGeom prst="rect">
          <a:avLst/>
        </a:prstGeom>
      </xdr:spPr>
    </xdr:pic>
    <xdr:clientData/>
  </xdr:twoCellAnchor>
  <xdr:twoCellAnchor editAs="oneCell">
    <xdr:from>
      <xdr:col>0</xdr:col>
      <xdr:colOff>761505</xdr:colOff>
      <xdr:row>41</xdr:row>
      <xdr:rowOff>119742</xdr:rowOff>
    </xdr:from>
    <xdr:to>
      <xdr:col>4</xdr:col>
      <xdr:colOff>198118</xdr:colOff>
      <xdr:row>46</xdr:row>
      <xdr:rowOff>168728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9D1E696-E399-4CC5-89E7-BAED958DD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505" y="7832271"/>
          <a:ext cx="3518756" cy="919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showGridLines="0" tabSelected="1" zoomScale="110" zoomScaleNormal="110" workbookViewId="0">
      <selection activeCell="D6" sqref="D6"/>
    </sheetView>
  </sheetViews>
  <sheetFormatPr baseColWidth="10" defaultColWidth="0" defaultRowHeight="14.25" zeroHeight="1" x14ac:dyDescent="0.2"/>
  <cols>
    <col min="1" max="1" width="11.42578125" style="1" customWidth="1"/>
    <col min="2" max="2" width="6.140625" style="1" bestFit="1" customWidth="1"/>
    <col min="3" max="3" width="26.42578125" style="1" customWidth="1"/>
    <col min="4" max="4" width="15.5703125" style="1" bestFit="1" customWidth="1"/>
    <col min="5" max="5" width="11.42578125" style="1" customWidth="1"/>
    <col min="6" max="9" width="0" style="1" hidden="1" customWidth="1"/>
    <col min="10" max="16384" width="11.42578125" style="1" hidden="1"/>
  </cols>
  <sheetData>
    <row r="1" spans="2:9" ht="59.25" customHeight="1" x14ac:dyDescent="0.2">
      <c r="B1" s="10" t="s">
        <v>0</v>
      </c>
      <c r="C1" s="10"/>
      <c r="D1" s="10"/>
    </row>
    <row r="2" spans="2:9" x14ac:dyDescent="0.2"/>
    <row r="3" spans="2:9" x14ac:dyDescent="0.2">
      <c r="C3" s="1" t="s">
        <v>1</v>
      </c>
      <c r="D3" s="6">
        <v>43466</v>
      </c>
      <c r="I3" s="2"/>
    </row>
    <row r="4" spans="2:9" x14ac:dyDescent="0.2">
      <c r="C4" s="1" t="s">
        <v>2</v>
      </c>
      <c r="D4" s="7">
        <v>100000</v>
      </c>
    </row>
    <row r="5" spans="2:9" x14ac:dyDescent="0.2">
      <c r="C5" s="1" t="s">
        <v>3</v>
      </c>
      <c r="D5" s="8">
        <v>0.06</v>
      </c>
      <c r="H5" s="9"/>
    </row>
    <row r="6" spans="2:9" x14ac:dyDescent="0.2"/>
    <row r="7" spans="2:9" x14ac:dyDescent="0.2">
      <c r="B7" s="1" t="s">
        <v>4</v>
      </c>
      <c r="C7" s="1" t="s">
        <v>5</v>
      </c>
      <c r="D7" s="1" t="s">
        <v>6</v>
      </c>
    </row>
    <row r="8" spans="2:9" x14ac:dyDescent="0.2">
      <c r="B8" s="3">
        <v>0</v>
      </c>
      <c r="C8" s="4">
        <f>+$D$3+B8</f>
        <v>43466</v>
      </c>
      <c r="D8" s="5">
        <f>+$D$4*(1*$D$5)^(B8/360)-$D$4</f>
        <v>0</v>
      </c>
    </row>
    <row r="9" spans="2:9" x14ac:dyDescent="0.2">
      <c r="B9" s="3">
        <f>+B8+15</f>
        <v>15</v>
      </c>
      <c r="C9" s="4">
        <f t="shared" ref="C9:C32" si="0">+$D$3+B9</f>
        <v>43481</v>
      </c>
      <c r="D9" s="5">
        <f>+$D$4*(1+$D$5)^(B9/360)-$D$4</f>
        <v>243.08208376991388</v>
      </c>
    </row>
    <row r="10" spans="2:9" x14ac:dyDescent="0.2">
      <c r="B10" s="3">
        <f t="shared" ref="B10:B32" si="1">+B9+15</f>
        <v>30</v>
      </c>
      <c r="C10" s="4">
        <f t="shared" si="0"/>
        <v>43496</v>
      </c>
      <c r="D10" s="5">
        <f>+$D$4*(1+$D$5)^(B10/360)-$D$4</f>
        <v>486.75505653431173</v>
      </c>
    </row>
    <row r="11" spans="2:9" x14ac:dyDescent="0.2">
      <c r="B11" s="3">
        <f t="shared" si="1"/>
        <v>45</v>
      </c>
      <c r="C11" s="4">
        <f t="shared" si="0"/>
        <v>43511</v>
      </c>
      <c r="D11" s="5">
        <f t="shared" ref="D11:D32" si="2">+$D$4*(1+$D$5)^(B11/360)-$D$4</f>
        <v>731.02035463847278</v>
      </c>
    </row>
    <row r="12" spans="2:9" x14ac:dyDescent="0.2">
      <c r="B12" s="3">
        <f t="shared" si="1"/>
        <v>60</v>
      </c>
      <c r="C12" s="4">
        <f t="shared" si="0"/>
        <v>43526</v>
      </c>
      <c r="D12" s="5">
        <f t="shared" si="2"/>
        <v>975.87941791923367</v>
      </c>
    </row>
    <row r="13" spans="2:9" x14ac:dyDescent="0.2">
      <c r="B13" s="3">
        <f t="shared" si="1"/>
        <v>75</v>
      </c>
      <c r="C13" s="4">
        <f t="shared" si="0"/>
        <v>43541</v>
      </c>
      <c r="D13" s="5">
        <f t="shared" si="2"/>
        <v>1221.3336897132831</v>
      </c>
    </row>
    <row r="14" spans="2:9" x14ac:dyDescent="0.2">
      <c r="B14" s="3">
        <f t="shared" si="1"/>
        <v>90</v>
      </c>
      <c r="C14" s="4">
        <f t="shared" si="0"/>
        <v>43556</v>
      </c>
      <c r="D14" s="5">
        <f t="shared" si="2"/>
        <v>1467.3846168659366</v>
      </c>
    </row>
    <row r="15" spans="2:9" x14ac:dyDescent="0.2">
      <c r="B15" s="3">
        <f t="shared" si="1"/>
        <v>105</v>
      </c>
      <c r="C15" s="4">
        <f t="shared" si="0"/>
        <v>43571</v>
      </c>
      <c r="D15" s="5">
        <f t="shared" si="2"/>
        <v>1714.033649739431</v>
      </c>
    </row>
    <row r="16" spans="2:9" x14ac:dyDescent="0.2">
      <c r="B16" s="3">
        <f t="shared" si="1"/>
        <v>120</v>
      </c>
      <c r="C16" s="4">
        <f t="shared" si="0"/>
        <v>43586</v>
      </c>
      <c r="D16" s="5">
        <f t="shared" si="2"/>
        <v>1961.2822422216268</v>
      </c>
    </row>
    <row r="17" spans="2:4" x14ac:dyDescent="0.2">
      <c r="B17" s="3">
        <f t="shared" si="1"/>
        <v>135</v>
      </c>
      <c r="C17" s="4">
        <f t="shared" si="0"/>
        <v>43601</v>
      </c>
      <c r="D17" s="5">
        <f t="shared" si="2"/>
        <v>2209.1318517345499</v>
      </c>
    </row>
    <row r="18" spans="2:4" x14ac:dyDescent="0.2">
      <c r="B18" s="3">
        <f t="shared" si="1"/>
        <v>150</v>
      </c>
      <c r="C18" s="4">
        <f t="shared" si="0"/>
        <v>43616</v>
      </c>
      <c r="D18" s="5">
        <f t="shared" si="2"/>
        <v>2457.5839392428752</v>
      </c>
    </row>
    <row r="19" spans="2:4" x14ac:dyDescent="0.2">
      <c r="B19" s="3">
        <f t="shared" si="1"/>
        <v>165</v>
      </c>
      <c r="C19" s="4">
        <f t="shared" si="0"/>
        <v>43631</v>
      </c>
      <c r="D19" s="5">
        <f t="shared" si="2"/>
        <v>2706.6399692626874</v>
      </c>
    </row>
    <row r="20" spans="2:4" x14ac:dyDescent="0.2">
      <c r="B20" s="3">
        <f t="shared" si="1"/>
        <v>180</v>
      </c>
      <c r="C20" s="4">
        <f t="shared" si="0"/>
        <v>43646</v>
      </c>
      <c r="D20" s="5">
        <f t="shared" si="2"/>
        <v>2956.3014098699932</v>
      </c>
    </row>
    <row r="21" spans="2:4" x14ac:dyDescent="0.2">
      <c r="B21" s="3">
        <f t="shared" si="1"/>
        <v>195</v>
      </c>
      <c r="C21" s="4">
        <f t="shared" si="0"/>
        <v>43661</v>
      </c>
      <c r="D21" s="5">
        <f t="shared" si="2"/>
        <v>3206.5697327095404</v>
      </c>
    </row>
    <row r="22" spans="2:4" x14ac:dyDescent="0.2">
      <c r="B22" s="3">
        <f t="shared" si="1"/>
        <v>210</v>
      </c>
      <c r="C22" s="4">
        <f t="shared" si="0"/>
        <v>43676</v>
      </c>
      <c r="D22" s="5">
        <f t="shared" si="2"/>
        <v>3457.4464130032575</v>
      </c>
    </row>
    <row r="23" spans="2:4" x14ac:dyDescent="0.2">
      <c r="B23" s="3">
        <f t="shared" si="1"/>
        <v>225</v>
      </c>
      <c r="C23" s="4">
        <f t="shared" si="0"/>
        <v>43691</v>
      </c>
      <c r="D23" s="5">
        <f t="shared" si="2"/>
        <v>3708.932929559116</v>
      </c>
    </row>
    <row r="24" spans="2:4" x14ac:dyDescent="0.2">
      <c r="B24" s="3">
        <f t="shared" si="1"/>
        <v>240</v>
      </c>
      <c r="C24" s="4">
        <f t="shared" si="0"/>
        <v>43706</v>
      </c>
      <c r="D24" s="5">
        <f t="shared" si="2"/>
        <v>3961.0307647798036</v>
      </c>
    </row>
    <row r="25" spans="2:4" x14ac:dyDescent="0.2">
      <c r="B25" s="3">
        <f t="shared" si="1"/>
        <v>255</v>
      </c>
      <c r="C25" s="4">
        <f t="shared" si="0"/>
        <v>43721</v>
      </c>
      <c r="D25" s="5">
        <f t="shared" si="2"/>
        <v>4213.7414046714985</v>
      </c>
    </row>
    <row r="26" spans="2:4" x14ac:dyDescent="0.2">
      <c r="B26" s="3">
        <f t="shared" si="1"/>
        <v>270</v>
      </c>
      <c r="C26" s="4">
        <f t="shared" si="0"/>
        <v>43736</v>
      </c>
      <c r="D26" s="5">
        <f t="shared" si="2"/>
        <v>4467.0663388525718</v>
      </c>
    </row>
    <row r="27" spans="2:4" x14ac:dyDescent="0.2">
      <c r="B27" s="3">
        <f t="shared" si="1"/>
        <v>285</v>
      </c>
      <c r="C27" s="4">
        <f t="shared" si="0"/>
        <v>43751</v>
      </c>
      <c r="D27" s="5">
        <f t="shared" si="2"/>
        <v>4721.0070605623332</v>
      </c>
    </row>
    <row r="28" spans="2:4" x14ac:dyDescent="0.2">
      <c r="B28" s="3">
        <f t="shared" si="1"/>
        <v>300</v>
      </c>
      <c r="C28" s="4">
        <f t="shared" si="0"/>
        <v>43766</v>
      </c>
      <c r="D28" s="5">
        <f t="shared" si="2"/>
        <v>4975.5650666699657</v>
      </c>
    </row>
    <row r="29" spans="2:4" x14ac:dyDescent="0.2">
      <c r="B29" s="3">
        <f t="shared" si="1"/>
        <v>315</v>
      </c>
      <c r="C29" s="4">
        <f t="shared" si="0"/>
        <v>43781</v>
      </c>
      <c r="D29" s="5">
        <f t="shared" si="2"/>
        <v>5230.741857683257</v>
      </c>
    </row>
    <row r="30" spans="2:4" x14ac:dyDescent="0.2">
      <c r="B30" s="3">
        <f t="shared" si="1"/>
        <v>330</v>
      </c>
      <c r="C30" s="4">
        <f t="shared" si="0"/>
        <v>43796</v>
      </c>
      <c r="D30" s="5">
        <f t="shared" si="2"/>
        <v>5486.538937757432</v>
      </c>
    </row>
    <row r="31" spans="2:4" x14ac:dyDescent="0.2">
      <c r="B31" s="3">
        <f t="shared" si="1"/>
        <v>345</v>
      </c>
      <c r="C31" s="4">
        <f t="shared" si="0"/>
        <v>43811</v>
      </c>
      <c r="D31" s="5">
        <f t="shared" si="2"/>
        <v>5742.9578147040884</v>
      </c>
    </row>
    <row r="32" spans="2:4" x14ac:dyDescent="0.2">
      <c r="B32" s="3">
        <f t="shared" si="1"/>
        <v>360</v>
      </c>
      <c r="C32" s="4">
        <f t="shared" si="0"/>
        <v>43826</v>
      </c>
      <c r="D32" s="5">
        <f t="shared" si="2"/>
        <v>6000</v>
      </c>
    </row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</sheetData>
  <sheetProtection algorithmName="SHA-512" hashValue="AN+mrxgvW0U6qzmkBPTUu6s3vRyzZhwFJrnpla44dQHYGj5mvlELIBm8ei6yt9DHUMSpqh2tFfaII7PAgrTHuA==" saltValue="AKJ4YT9H9CRgN0dVJlWh+g==" spinCount="100000" sheet="1" objects="1" scenarios="1"/>
  <protectedRanges>
    <protectedRange sqref="D3:D5" name="Rango_editable"/>
  </protectedRanges>
  <mergeCells count="1">
    <mergeCell ref="B1:D1"/>
  </mergeCells>
  <pageMargins left="0.7" right="0.7" top="0.75" bottom="0.75" header="0.3" footer="0.3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jdelatorre</dc:creator>
  <cp:lastModifiedBy>jdelatorre</cp:lastModifiedBy>
  <dcterms:created xsi:type="dcterms:W3CDTF">2018-05-02T11:45:39Z</dcterms:created>
  <dcterms:modified xsi:type="dcterms:W3CDTF">2019-01-17T08:58:21Z</dcterms:modified>
</cp:coreProperties>
</file>